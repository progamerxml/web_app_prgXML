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g2022\App\Web_basE\test_slip_gaji_email\"/>
    </mc:Choice>
  </mc:AlternateContent>
  <bookViews>
    <workbookView xWindow="-120" yWindow="-120" windowWidth="29040" windowHeight="15720"/>
  </bookViews>
  <sheets>
    <sheet name="DATA GAJI" sheetId="2" r:id="rId1"/>
    <sheet name="SLIP GAJI" sheetId="1" r:id="rId2"/>
    <sheet name="Sheet3" sheetId="3" r:id="rId3"/>
  </sheets>
  <definedNames>
    <definedName name="_xlnm.Print_Area" localSheetId="1">'SLIP GAJI'!$A$1:$I$23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2" i="2" l="1"/>
  <c r="P11" i="2"/>
  <c r="P10" i="2"/>
  <c r="P9" i="2"/>
  <c r="P8" i="2"/>
  <c r="C7" i="1"/>
  <c r="C6" i="1"/>
  <c r="N2" i="1"/>
  <c r="I12" i="1"/>
  <c r="N3" i="1"/>
  <c r="D15" i="1"/>
  <c r="D14" i="1"/>
  <c r="I17" i="1"/>
  <c r="D17" i="1"/>
  <c r="I11" i="1"/>
  <c r="I10" i="1"/>
  <c r="D13" i="1"/>
  <c r="D12" i="1"/>
  <c r="D11" i="1"/>
  <c r="D10" i="1"/>
  <c r="H7" i="1"/>
  <c r="H6" i="1"/>
  <c r="H23" i="1"/>
  <c r="D3" i="2" l="1"/>
  <c r="I2" i="1" l="1"/>
  <c r="A10" i="1"/>
  <c r="F12" i="1"/>
  <c r="F11" i="1"/>
  <c r="F10" i="1"/>
  <c r="A15" i="1"/>
  <c r="A14" i="1"/>
  <c r="A13" i="1"/>
  <c r="A12" i="1"/>
  <c r="A11" i="1"/>
  <c r="Q9" i="2"/>
  <c r="M9" i="2"/>
  <c r="M10" i="2"/>
  <c r="M11" i="2"/>
  <c r="M12" i="2"/>
  <c r="M8" i="2"/>
  <c r="L9" i="2"/>
  <c r="L10" i="2"/>
  <c r="Q10" i="2" s="1"/>
  <c r="L11" i="2"/>
  <c r="Q11" i="2" s="1"/>
  <c r="L12" i="2"/>
  <c r="Q12" i="2" s="1"/>
  <c r="C19" i="1" s="1"/>
  <c r="L8" i="2"/>
  <c r="Q8" i="2" l="1"/>
  <c r="C20" i="1" s="1"/>
</calcChain>
</file>

<file path=xl/sharedStrings.xml><?xml version="1.0" encoding="utf-8"?>
<sst xmlns="http://schemas.openxmlformats.org/spreadsheetml/2006/main" count="73" uniqueCount="57">
  <si>
    <t>PT. PUSAT CARA CARA</t>
  </si>
  <si>
    <t>Jl. R.E. Martadinata No. 100</t>
  </si>
  <si>
    <t>Jakarta Pusat</t>
  </si>
  <si>
    <t>Tlp./Fax (021) 12345678</t>
  </si>
  <si>
    <t>NIK</t>
  </si>
  <si>
    <t>Nama Karyawan</t>
  </si>
  <si>
    <t>:</t>
  </si>
  <si>
    <t>PENDAPATAN</t>
  </si>
  <si>
    <t>POTONGAN</t>
  </si>
  <si>
    <t>Jabatan</t>
  </si>
  <si>
    <t>NPWP</t>
  </si>
  <si>
    <t>NO</t>
  </si>
  <si>
    <t>NAMA</t>
  </si>
  <si>
    <t>JABATAN</t>
  </si>
  <si>
    <t>GAJI POKOK</t>
  </si>
  <si>
    <t>TUNJANGAN JABATAN</t>
  </si>
  <si>
    <t>TUNJANGAN MAKAN</t>
  </si>
  <si>
    <t>TUNJANGAN LAIN-LAIN</t>
  </si>
  <si>
    <t>LEMBUR</t>
  </si>
  <si>
    <t>THR</t>
  </si>
  <si>
    <t>PPh21</t>
  </si>
  <si>
    <t>KOPERASI</t>
  </si>
  <si>
    <t>ANDRIANA AFIFAH</t>
  </si>
  <si>
    <t>BILLY ALFARIZI</t>
  </si>
  <si>
    <t>CINDY NUR ANNISA</t>
  </si>
  <si>
    <t>DONNY AHMAD ZUNAIDI</t>
  </si>
  <si>
    <t>EVELYN PUTRI ASSYIFA</t>
  </si>
  <si>
    <t>SP001</t>
  </si>
  <si>
    <t>SP002</t>
  </si>
  <si>
    <t>EN001</t>
  </si>
  <si>
    <t>SUPERVISOR</t>
  </si>
  <si>
    <t>ENGINEERING</t>
  </si>
  <si>
    <t>111222333444</t>
  </si>
  <si>
    <t>222333444555</t>
  </si>
  <si>
    <t>333444555666</t>
  </si>
  <si>
    <t>444555666777</t>
  </si>
  <si>
    <t>555666777111</t>
  </si>
  <si>
    <t>BPJS / JAMSOSTEK</t>
  </si>
  <si>
    <t>PM001</t>
  </si>
  <si>
    <t>PROJECT MANAGER</t>
  </si>
  <si>
    <t>AD001</t>
  </si>
  <si>
    <t>ADMINISTRATION</t>
  </si>
  <si>
    <t>JML PENDAPATAN</t>
  </si>
  <si>
    <t>JML POTONGAN</t>
  </si>
  <si>
    <t>GAJI BERSIH</t>
  </si>
  <si>
    <t>JUMLAH PENDAPATAN</t>
  </si>
  <si>
    <t>JUMLAH POTONGAN</t>
  </si>
  <si>
    <t>SLIP GAJI</t>
  </si>
  <si>
    <t>April 2019</t>
  </si>
  <si>
    <t>Bendahara</t>
  </si>
  <si>
    <t>Bendahara,</t>
  </si>
  <si>
    <t>M. FATIH</t>
  </si>
  <si>
    <t>Data Gaji Bulan</t>
  </si>
  <si>
    <t>Jumlah Karyawan</t>
  </si>
  <si>
    <t>E-MAIL</t>
  </si>
  <si>
    <t>progamerxml@outlook.com</t>
  </si>
  <si>
    <t>progamerxml@gmail.com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</si>
</sst>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2" formatCode="_-&quot;Rp&quot;* #,##0_-;\-&quot;Rp&quot;* #,##0_-;_-&quot;Rp&quot;* &quot;-&quot;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i/>
      <sz val="9"/>
      <color theme="1"/>
      <name val="Arial"/>
      <family val="2"/>
    </font>
    <font>
      <b/>
      <u/>
      <sz val="9"/>
      <color theme="1"/>
      <name val="Arial"/>
      <family val="2"/>
    </font>
    <font>
      <sz val="10"/>
      <color rgb="FF000000"/>
      <name val="Tahoma"/>
      <family val="2"/>
    </font>
    <font>
      <b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42" fontId="0" fillId="0" borderId="1" xfId="0" applyNumberFormat="1" applyBorder="1" applyAlignment="1">
      <alignment vertical="center"/>
    </xf>
    <xf numFmtId="42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1" fillId="0" borderId="1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7" xfId="0" applyFont="1" applyBorder="1" applyAlignment="1">
      <alignment vertical="center"/>
    </xf>
    <xf numFmtId="42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5" fillId="0" borderId="11" xfId="0" applyFont="1" applyBorder="1" applyAlignment="1">
      <alignment vertical="center"/>
    </xf>
    <xf numFmtId="42" fontId="5" fillId="0" borderId="11" xfId="0" applyNumberFormat="1" applyFont="1" applyBorder="1" applyAlignment="1">
      <alignment vertical="center"/>
    </xf>
    <xf numFmtId="0" fontId="1" fillId="0" borderId="0" xfId="0" quotePrefix="1" applyFont="1" applyAlignment="1">
      <alignment horizontal="left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42" fontId="12" fillId="0" borderId="1" xfId="1" applyNumberFormat="1" applyBorder="1" applyAlignment="1">
      <alignment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42" fontId="5" fillId="2" borderId="8" xfId="0" applyNumberFormat="1" applyFont="1" applyFill="1" applyBorder="1" applyAlignment="1">
      <alignment horizontal="center" vertical="center"/>
    </xf>
    <xf numFmtId="42" fontId="5" fillId="2" borderId="9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4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205415</xdr:colOff>
      <xdr:row>0</xdr:row>
      <xdr:rowOff>127962</xdr:rowOff>
    </xdr:from>
    <xdr:to>
      <xdr:col>0</xdr:col>
      <xdr:colOff>862639</xdr:colOff>
      <xdr:row>3</xdr:row>
      <xdr:rowOff>769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415" y="127962"/>
          <a:ext cx="657224" cy="4962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28575</xdr:rowOff>
        </xdr:from>
        <xdr:to>
          <xdr:col>11</xdr:col>
          <xdr:colOff>257175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5</xdr:row>
          <xdr:rowOff>28575</xdr:rowOff>
        </xdr:from>
        <xdr:to>
          <xdr:col>12</xdr:col>
          <xdr:colOff>495300</xdr:colOff>
          <xdr:row>6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Print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19050</xdr:rowOff>
        </xdr:from>
        <xdr:to>
          <xdr:col>10</xdr:col>
          <xdr:colOff>438150</xdr:colOff>
          <xdr:row>2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</xdr:row>
          <xdr:rowOff>19050</xdr:rowOff>
        </xdr:from>
        <xdr:to>
          <xdr:col>11</xdr:col>
          <xdr:colOff>266700</xdr:colOff>
          <xdr:row>2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1</xdr:row>
          <xdr:rowOff>19050</xdr:rowOff>
        </xdr:from>
        <xdr:to>
          <xdr:col>12</xdr:col>
          <xdr:colOff>85725</xdr:colOff>
          <xdr:row>2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19050</xdr:rowOff>
        </xdr:from>
        <xdr:to>
          <xdr:col>12</xdr:col>
          <xdr:colOff>495300</xdr:colOff>
          <xdr:row>2</xdr:row>
          <xdr:rowOff>142875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</xdr:row>
          <xdr:rowOff>38100</xdr:rowOff>
        </xdr:from>
        <xdr:to>
          <xdr:col>12</xdr:col>
          <xdr:colOff>495300</xdr:colOff>
          <xdr:row>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7</xdr:row>
          <xdr:rowOff>19050</xdr:rowOff>
        </xdr:from>
        <xdr:to>
          <xdr:col>12</xdr:col>
          <xdr:colOff>476250</xdr:colOff>
          <xdr:row>9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9</xdr:row>
          <xdr:rowOff>142875</xdr:rowOff>
        </xdr:from>
        <xdr:to>
          <xdr:col>12</xdr:col>
          <xdr:colOff>476250</xdr:colOff>
          <xdr:row>11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&amp; kirim via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rogamerxml@gmail.com" TargetMode="External"/><Relationship Id="rId2" Type="http://schemas.openxmlformats.org/officeDocument/2006/relationships/hyperlink" Target="mailto:progamerxml@gmail.com" TargetMode="External"/><Relationship Id="rId1" Type="http://schemas.openxmlformats.org/officeDocument/2006/relationships/hyperlink" Target="mailto:progamerxml@outlook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rogamerxml@outlook.com" TargetMode="External"/><Relationship Id="rId4" Type="http://schemas.openxmlformats.org/officeDocument/2006/relationships/hyperlink" Target="mailto:progamerxml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2"/>
  <sheetViews>
    <sheetView tabSelected="1" zoomScale="80" zoomScaleNormal="80" workbookViewId="0">
      <selection activeCell="P12" sqref="P12"/>
    </sheetView>
  </sheetViews>
  <sheetFormatPr defaultRowHeight="15" x14ac:dyDescent="0.25"/>
  <cols>
    <col min="1" max="1" width="3.85546875" style="4" bestFit="1" customWidth="1"/>
    <col min="2" max="2" width="23.140625" style="4" bestFit="1" customWidth="1"/>
    <col min="3" max="3" width="7.140625" style="4" customWidth="1"/>
    <col min="4" max="4" width="19.28515625" style="4" customWidth="1"/>
    <col min="5" max="5" width="15" style="4" customWidth="1"/>
    <col min="6" max="17" width="15.7109375" style="4" customWidth="1"/>
    <col min="18" max="18" width="27.85546875" style="4" bestFit="1" customWidth="1"/>
    <col min="19" max="16384" width="9.140625" style="4"/>
  </cols>
  <sheetData>
    <row r="1" spans="1:18" x14ac:dyDescent="0.25">
      <c r="A1" s="8" t="s">
        <v>52</v>
      </c>
      <c r="C1" s="4" t="s">
        <v>6</v>
      </c>
      <c r="D1" s="13" t="s">
        <v>48</v>
      </c>
    </row>
    <row r="2" spans="1:18" x14ac:dyDescent="0.25">
      <c r="A2" s="8" t="s">
        <v>49</v>
      </c>
      <c r="C2" s="4" t="s">
        <v>6</v>
      </c>
      <c r="D2" s="13" t="s">
        <v>51</v>
      </c>
    </row>
    <row r="3" spans="1:18" x14ac:dyDescent="0.25">
      <c r="A3" s="8" t="s">
        <v>53</v>
      </c>
      <c r="C3" s="4" t="s">
        <v>6</v>
      </c>
      <c r="D3" s="23">
        <f>COUNT(A8:A1000)</f>
        <v>5</v>
      </c>
    </row>
    <row r="5" spans="1:18" x14ac:dyDescent="0.25">
      <c r="A5" s="31" t="s">
        <v>11</v>
      </c>
      <c r="B5" s="31" t="s">
        <v>12</v>
      </c>
      <c r="C5" s="31" t="s">
        <v>4</v>
      </c>
      <c r="D5" s="31" t="s">
        <v>13</v>
      </c>
      <c r="E5" s="31" t="s">
        <v>10</v>
      </c>
      <c r="F5" s="35" t="s">
        <v>7</v>
      </c>
      <c r="G5" s="35"/>
      <c r="H5" s="35"/>
      <c r="I5" s="35"/>
      <c r="J5" s="35"/>
      <c r="K5" s="35"/>
      <c r="L5" s="35"/>
      <c r="M5" s="32" t="s">
        <v>8</v>
      </c>
      <c r="N5" s="33"/>
      <c r="O5" s="33"/>
      <c r="P5" s="34"/>
      <c r="Q5" s="29" t="s">
        <v>44</v>
      </c>
      <c r="R5" s="29" t="s">
        <v>54</v>
      </c>
    </row>
    <row r="6" spans="1:18" s="1" customFormat="1" ht="34.5" customHeight="1" x14ac:dyDescent="0.25">
      <c r="A6" s="31"/>
      <c r="B6" s="31"/>
      <c r="C6" s="31"/>
      <c r="D6" s="31"/>
      <c r="E6" s="31"/>
      <c r="F6" s="24" t="s">
        <v>14</v>
      </c>
      <c r="G6" s="24" t="s">
        <v>15</v>
      </c>
      <c r="H6" s="24" t="s">
        <v>16</v>
      </c>
      <c r="I6" s="24" t="s">
        <v>17</v>
      </c>
      <c r="J6" s="24" t="s">
        <v>18</v>
      </c>
      <c r="K6" s="24" t="s">
        <v>19</v>
      </c>
      <c r="L6" s="24" t="s">
        <v>42</v>
      </c>
      <c r="M6" s="25" t="s">
        <v>20</v>
      </c>
      <c r="N6" s="25" t="s">
        <v>37</v>
      </c>
      <c r="O6" s="25" t="s">
        <v>21</v>
      </c>
      <c r="P6" s="25" t="s">
        <v>43</v>
      </c>
      <c r="Q6" s="30"/>
      <c r="R6" s="30"/>
    </row>
    <row r="7" spans="1:18" s="10" customFormat="1" ht="12.75" x14ac:dyDescent="0.25">
      <c r="A7" s="9">
        <v>1</v>
      </c>
      <c r="B7" s="9">
        <v>2</v>
      </c>
      <c r="C7" s="9">
        <v>3</v>
      </c>
      <c r="D7" s="9">
        <v>4</v>
      </c>
      <c r="E7" s="9">
        <v>5</v>
      </c>
      <c r="F7" s="9">
        <v>6</v>
      </c>
      <c r="G7" s="9">
        <v>7</v>
      </c>
      <c r="H7" s="9">
        <v>8</v>
      </c>
      <c r="I7" s="9">
        <v>9</v>
      </c>
      <c r="J7" s="9">
        <v>10</v>
      </c>
      <c r="K7" s="9">
        <v>11</v>
      </c>
      <c r="L7" s="9">
        <v>12</v>
      </c>
      <c r="M7" s="9">
        <v>13</v>
      </c>
      <c r="N7" s="9">
        <v>14</v>
      </c>
      <c r="O7" s="9">
        <v>15</v>
      </c>
      <c r="P7" s="9">
        <v>16</v>
      </c>
      <c r="Q7" s="9">
        <v>17</v>
      </c>
      <c r="R7" s="9">
        <v>18</v>
      </c>
    </row>
    <row r="8" spans="1:18" x14ac:dyDescent="0.25">
      <c r="A8" s="2">
        <v>1</v>
      </c>
      <c r="B8" s="5" t="s">
        <v>22</v>
      </c>
      <c r="C8" s="2" t="s">
        <v>29</v>
      </c>
      <c r="D8" s="5" t="s">
        <v>31</v>
      </c>
      <c r="E8" s="3" t="s">
        <v>32</v>
      </c>
      <c r="F8" s="6">
        <v>4500000</v>
      </c>
      <c r="G8" s="6">
        <v>2100000</v>
      </c>
      <c r="H8" s="6">
        <v>1000000</v>
      </c>
      <c r="I8" s="6">
        <v>500000</v>
      </c>
      <c r="J8" s="6">
        <v>0</v>
      </c>
      <c r="K8" s="6">
        <v>0</v>
      </c>
      <c r="L8" s="7">
        <f>SUM(F8:K8)</f>
        <v>8100000</v>
      </c>
      <c r="M8" s="6">
        <f>5%*(F8+G8+H8+I8)</f>
        <v>405000</v>
      </c>
      <c r="N8" s="6">
        <v>90000</v>
      </c>
      <c r="O8" s="6">
        <v>1150000</v>
      </c>
      <c r="P8" s="7">
        <f>SUM(M8:O8)</f>
        <v>1645000</v>
      </c>
      <c r="Q8" s="7">
        <f>L8-P8</f>
        <v>6455000</v>
      </c>
      <c r="R8" s="28" t="s">
        <v>55</v>
      </c>
    </row>
    <row r="9" spans="1:18" x14ac:dyDescent="0.25">
      <c r="A9" s="2">
        <v>2</v>
      </c>
      <c r="B9" s="5" t="s">
        <v>23</v>
      </c>
      <c r="C9" s="2" t="s">
        <v>38</v>
      </c>
      <c r="D9" s="5" t="s">
        <v>39</v>
      </c>
      <c r="E9" s="3" t="s">
        <v>33</v>
      </c>
      <c r="F9" s="6">
        <v>5000000</v>
      </c>
      <c r="G9" s="6">
        <v>2250000</v>
      </c>
      <c r="H9" s="6">
        <v>1000000</v>
      </c>
      <c r="I9" s="6">
        <v>500000</v>
      </c>
      <c r="J9" s="6">
        <v>0</v>
      </c>
      <c r="K9" s="6">
        <v>0</v>
      </c>
      <c r="L9" s="7">
        <f t="shared" ref="L9:L12" si="0">SUM(F9:K9)</f>
        <v>8750000</v>
      </c>
      <c r="M9" s="6">
        <f t="shared" ref="M9:M12" si="1">5%*(F9+G9+H9+I9)</f>
        <v>437500</v>
      </c>
      <c r="N9" s="6">
        <v>90000</v>
      </c>
      <c r="O9" s="6">
        <v>1000000</v>
      </c>
      <c r="P9" s="7">
        <f t="shared" ref="P9:P12" si="2">SUM(M9:O9)</f>
        <v>1527500</v>
      </c>
      <c r="Q9" s="7">
        <f t="shared" ref="Q9:Q12" si="3">L9-P9</f>
        <v>7222500</v>
      </c>
      <c r="R9" s="28" t="s">
        <v>56</v>
      </c>
    </row>
    <row r="10" spans="1:18" x14ac:dyDescent="0.25">
      <c r="A10" s="2">
        <v>3</v>
      </c>
      <c r="B10" s="5" t="s">
        <v>24</v>
      </c>
      <c r="C10" s="2" t="s">
        <v>40</v>
      </c>
      <c r="D10" s="5" t="s">
        <v>41</v>
      </c>
      <c r="E10" s="3" t="s">
        <v>34</v>
      </c>
      <c r="F10" s="6">
        <v>4000000</v>
      </c>
      <c r="G10" s="6">
        <v>2000000</v>
      </c>
      <c r="H10" s="6">
        <v>1000000</v>
      </c>
      <c r="I10" s="6">
        <v>350000</v>
      </c>
      <c r="J10" s="6">
        <v>0</v>
      </c>
      <c r="K10" s="6">
        <v>0</v>
      </c>
      <c r="L10" s="7">
        <f t="shared" si="0"/>
        <v>7350000</v>
      </c>
      <c r="M10" s="6">
        <f t="shared" si="1"/>
        <v>367500</v>
      </c>
      <c r="N10" s="6">
        <v>90000</v>
      </c>
      <c r="O10" s="6">
        <v>950000</v>
      </c>
      <c r="P10" s="7">
        <f t="shared" si="2"/>
        <v>1407500</v>
      </c>
      <c r="Q10" s="7">
        <f t="shared" si="3"/>
        <v>5942500</v>
      </c>
      <c r="R10" s="28" t="s">
        <v>56</v>
      </c>
    </row>
    <row r="11" spans="1:18" x14ac:dyDescent="0.25">
      <c r="A11" s="2">
        <v>4</v>
      </c>
      <c r="B11" s="5" t="s">
        <v>25</v>
      </c>
      <c r="C11" s="2" t="s">
        <v>27</v>
      </c>
      <c r="D11" s="5" t="s">
        <v>30</v>
      </c>
      <c r="E11" s="3" t="s">
        <v>35</v>
      </c>
      <c r="F11" s="6">
        <v>3750000</v>
      </c>
      <c r="G11" s="6">
        <v>1000000</v>
      </c>
      <c r="H11" s="6">
        <v>750000</v>
      </c>
      <c r="I11" s="6">
        <v>0</v>
      </c>
      <c r="J11" s="6">
        <v>800000</v>
      </c>
      <c r="K11" s="6">
        <v>0</v>
      </c>
      <c r="L11" s="7">
        <f t="shared" si="0"/>
        <v>6300000</v>
      </c>
      <c r="M11" s="6">
        <f t="shared" si="1"/>
        <v>275000</v>
      </c>
      <c r="N11" s="6">
        <v>75000</v>
      </c>
      <c r="O11" s="6">
        <v>700000</v>
      </c>
      <c r="P11" s="7">
        <f t="shared" si="2"/>
        <v>1050000</v>
      </c>
      <c r="Q11" s="7">
        <f t="shared" si="3"/>
        <v>5250000</v>
      </c>
      <c r="R11" s="28" t="s">
        <v>56</v>
      </c>
    </row>
    <row r="12" spans="1:18" x14ac:dyDescent="0.25">
      <c r="A12" s="2">
        <v>5</v>
      </c>
      <c r="B12" s="5" t="s">
        <v>26</v>
      </c>
      <c r="C12" s="2" t="s">
        <v>28</v>
      </c>
      <c r="D12" s="5" t="s">
        <v>30</v>
      </c>
      <c r="E12" s="3" t="s">
        <v>36</v>
      </c>
      <c r="F12" s="6">
        <v>3750000</v>
      </c>
      <c r="G12" s="6">
        <v>1000000</v>
      </c>
      <c r="H12" s="6">
        <v>750000</v>
      </c>
      <c r="I12" s="6">
        <v>0</v>
      </c>
      <c r="J12" s="6">
        <v>750000</v>
      </c>
      <c r="K12" s="6">
        <v>0</v>
      </c>
      <c r="L12" s="7">
        <f t="shared" si="0"/>
        <v>6250000</v>
      </c>
      <c r="M12" s="6">
        <f t="shared" si="1"/>
        <v>275000</v>
      </c>
      <c r="N12" s="6">
        <v>75000</v>
      </c>
      <c r="O12" s="6">
        <v>550000</v>
      </c>
      <c r="P12" s="7">
        <f t="shared" si="2"/>
        <v>900000</v>
      </c>
      <c r="Q12" s="7">
        <f t="shared" si="3"/>
        <v>5350000</v>
      </c>
      <c r="R12" s="28" t="s">
        <v>55</v>
      </c>
    </row>
  </sheetData>
  <mergeCells count="9">
    <mergeCell ref="R5:R6"/>
    <mergeCell ref="A5:A6"/>
    <mergeCell ref="M5:P5"/>
    <mergeCell ref="Q5:Q6"/>
    <mergeCell ref="F5:L5"/>
    <mergeCell ref="E5:E6"/>
    <mergeCell ref="D5:D6"/>
    <mergeCell ref="C5:C6"/>
    <mergeCell ref="B5:B6"/>
  </mergeCells>
  <hyperlinks>
    <hyperlink ref="R8" r:id="rId1"/>
    <hyperlink ref="R9" r:id="rId2"/>
    <hyperlink ref="R10" r:id="rId3"/>
    <hyperlink ref="R11" r:id="rId4"/>
    <hyperlink ref="R12" r:id="rId5"/>
  </hyperlinks>
  <pageMargins left="0.7" right="0.7" top="0.75" bottom="0.75" header="0.3" footer="0.3"/>
  <pageSetup paperSize="9" orientation="portrait" horizontalDpi="4294967293" verticalDpi="0"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3"/>
  <sheetViews>
    <sheetView view="pageBreakPreview" zoomScale="110" zoomScaleNormal="110" zoomScaleSheetLayoutView="110" workbookViewId="0">
      <selection activeCell="N2" sqref="N2"/>
    </sheetView>
  </sheetViews>
  <sheetFormatPr defaultRowHeight="15" x14ac:dyDescent="0.25"/>
  <cols>
    <col min="1" max="1" width="15.7109375" style="4" customWidth="1"/>
    <col min="2" max="2" width="2.28515625" style="4" customWidth="1"/>
    <col min="3" max="3" width="7.7109375" style="4" customWidth="1"/>
    <col min="4" max="4" width="14.7109375" style="4" customWidth="1"/>
    <col min="5" max="5" width="7.7109375" style="4" customWidth="1"/>
    <col min="6" max="6" width="15.7109375" style="4" customWidth="1"/>
    <col min="7" max="7" width="2.28515625" style="4" customWidth="1"/>
    <col min="8" max="8" width="7.7109375" style="4" customWidth="1"/>
    <col min="9" max="9" width="14.7109375" style="4" customWidth="1"/>
    <col min="10" max="10" width="9.140625" style="4"/>
    <col min="11" max="12" width="8.7109375" style="4" customWidth="1"/>
    <col min="13" max="13" width="9.140625" style="4" customWidth="1"/>
    <col min="14" max="14" width="5.85546875" style="4" customWidth="1"/>
    <col min="15" max="15" width="9.140625" style="4" customWidth="1"/>
    <col min="16" max="16384" width="9.140625" style="4"/>
  </cols>
  <sheetData>
    <row r="1" spans="1:14" ht="18.75" x14ac:dyDescent="0.25">
      <c r="B1" s="12" t="s">
        <v>0</v>
      </c>
      <c r="I1" s="27" t="s">
        <v>47</v>
      </c>
      <c r="N1" s="4">
        <v>1</v>
      </c>
    </row>
    <row r="2" spans="1:14" x14ac:dyDescent="0.25">
      <c r="B2" s="4" t="s">
        <v>1</v>
      </c>
      <c r="I2" s="26" t="str">
        <f>'DATA GAJI'!D1</f>
        <v>April 2019</v>
      </c>
      <c r="N2" s="4">
        <f>'DATA GAJI'!D3</f>
        <v>5</v>
      </c>
    </row>
    <row r="3" spans="1:14" x14ac:dyDescent="0.25">
      <c r="B3" s="4" t="s">
        <v>3</v>
      </c>
      <c r="N3" s="4" t="str">
        <f>VLOOKUP(N1,'DATA GAJI'!$A$8:$R$1000,18,0)</f>
        <v>progamerxml@outlook.com</v>
      </c>
    </row>
    <row r="4" spans="1:14" ht="15.75" thickBot="1" x14ac:dyDescent="0.3">
      <c r="B4" s="14" t="s">
        <v>2</v>
      </c>
      <c r="C4" s="11"/>
      <c r="D4" s="11"/>
      <c r="E4" s="11"/>
      <c r="F4" s="11"/>
      <c r="G4" s="11"/>
      <c r="H4" s="11"/>
      <c r="I4" s="11"/>
    </row>
    <row r="6" spans="1:14" x14ac:dyDescent="0.25">
      <c r="A6" s="15" t="s">
        <v>4</v>
      </c>
      <c r="B6" s="15" t="s">
        <v>6</v>
      </c>
      <c r="C6" s="37" t="str">
        <f>VLOOKUP(N1,'DATA GAJI'!$A$8:$R$1000,3,0)</f>
        <v>EN001</v>
      </c>
      <c r="D6" s="37"/>
      <c r="E6" s="15"/>
      <c r="F6" s="15" t="s">
        <v>9</v>
      </c>
      <c r="G6" s="15" t="s">
        <v>6</v>
      </c>
      <c r="H6" s="37" t="str">
        <f>VLOOKUP(N1,'DATA GAJI'!$A$8:$R$1000,4,0)</f>
        <v>ENGINEERING</v>
      </c>
      <c r="I6" s="37"/>
    </row>
    <row r="7" spans="1:14" x14ac:dyDescent="0.25">
      <c r="A7" s="15" t="s">
        <v>5</v>
      </c>
      <c r="B7" s="15" t="s">
        <v>6</v>
      </c>
      <c r="C7" s="38" t="str">
        <f>VLOOKUP(N1,'DATA GAJI'!$A$8:$R$1000,2,0)</f>
        <v>ANDRIANA AFIFAH</v>
      </c>
      <c r="D7" s="38"/>
      <c r="E7" s="15"/>
      <c r="F7" s="15" t="s">
        <v>10</v>
      </c>
      <c r="G7" s="15" t="s">
        <v>6</v>
      </c>
      <c r="H7" s="37" t="str">
        <f>VLOOKUP(N1,'DATA GAJI'!$A$8:$R$1000,5,0)</f>
        <v>111222333444</v>
      </c>
      <c r="I7" s="37"/>
    </row>
    <row r="8" spans="1:14" ht="7.5" customHeight="1" x14ac:dyDescent="0.25">
      <c r="A8" s="15"/>
      <c r="B8" s="15"/>
      <c r="C8" s="15"/>
      <c r="D8" s="15"/>
      <c r="E8" s="15"/>
      <c r="F8" s="15"/>
      <c r="G8" s="15"/>
      <c r="H8" s="15"/>
      <c r="I8" s="15"/>
    </row>
    <row r="9" spans="1:14" s="8" customFormat="1" ht="15.75" thickBot="1" x14ac:dyDescent="0.3">
      <c r="A9" s="16" t="s">
        <v>7</v>
      </c>
      <c r="B9" s="16"/>
      <c r="C9" s="16"/>
      <c r="D9" s="16"/>
      <c r="E9" s="16"/>
      <c r="F9" s="16" t="s">
        <v>8</v>
      </c>
      <c r="G9" s="16"/>
      <c r="H9" s="16"/>
      <c r="I9" s="16"/>
    </row>
    <row r="10" spans="1:14" ht="15.75" thickTop="1" x14ac:dyDescent="0.25">
      <c r="A10" s="15" t="str">
        <f>'DATA GAJI'!F6</f>
        <v>GAJI POKOK</v>
      </c>
      <c r="B10" s="15"/>
      <c r="C10" s="15"/>
      <c r="D10" s="17">
        <f>VLOOKUP(N1,'DATA GAJI'!$A$8:$R$1000,6,0)</f>
        <v>4500000</v>
      </c>
      <c r="E10" s="15"/>
      <c r="F10" s="15" t="str">
        <f>'DATA GAJI'!M6</f>
        <v>PPh21</v>
      </c>
      <c r="G10" s="15"/>
      <c r="H10" s="15"/>
      <c r="I10" s="17">
        <f>VLOOKUP(N1,'DATA GAJI'!$A$8:$R$1000,13,0)</f>
        <v>405000</v>
      </c>
    </row>
    <row r="11" spans="1:14" x14ac:dyDescent="0.25">
      <c r="A11" s="15" t="str">
        <f>'DATA GAJI'!G6</f>
        <v>TUNJANGAN JABATAN</v>
      </c>
      <c r="B11" s="15"/>
      <c r="C11" s="15"/>
      <c r="D11" s="17">
        <f>VLOOKUP(N1,'DATA GAJI'!$A$8:$R$1000,7,0)</f>
        <v>2100000</v>
      </c>
      <c r="E11" s="15"/>
      <c r="F11" s="15" t="str">
        <f>'DATA GAJI'!N6</f>
        <v>BPJS / JAMSOSTEK</v>
      </c>
      <c r="G11" s="15"/>
      <c r="H11" s="15"/>
      <c r="I11" s="17">
        <f>VLOOKUP(N1,'DATA GAJI'!$A$8:$R$1000,14,0)</f>
        <v>90000</v>
      </c>
    </row>
    <row r="12" spans="1:14" x14ac:dyDescent="0.25">
      <c r="A12" s="15" t="str">
        <f>'DATA GAJI'!H6</f>
        <v>TUNJANGAN MAKAN</v>
      </c>
      <c r="B12" s="15"/>
      <c r="C12" s="15"/>
      <c r="D12" s="17">
        <f>VLOOKUP(N1,'DATA GAJI'!$A$8:$R$1000,8,0)</f>
        <v>1000000</v>
      </c>
      <c r="E12" s="15"/>
      <c r="F12" s="15" t="str">
        <f>'DATA GAJI'!O6</f>
        <v>KOPERASI</v>
      </c>
      <c r="G12" s="15"/>
      <c r="H12" s="15"/>
      <c r="I12" s="17">
        <f>VLOOKUP(N1,'DATA GAJI'!$A$8:$R$1000,15,0)</f>
        <v>1150000</v>
      </c>
    </row>
    <row r="13" spans="1:14" x14ac:dyDescent="0.25">
      <c r="A13" s="15" t="str">
        <f>'DATA GAJI'!I6</f>
        <v>TUNJANGAN LAIN-LAIN</v>
      </c>
      <c r="B13" s="15"/>
      <c r="C13" s="15"/>
      <c r="D13" s="17">
        <f>VLOOKUP(N1,'DATA GAJI'!$A$8:$R$1000,9,0)</f>
        <v>500000</v>
      </c>
      <c r="E13" s="15"/>
      <c r="F13" s="15"/>
      <c r="G13" s="15"/>
      <c r="H13" s="15"/>
      <c r="I13" s="17"/>
    </row>
    <row r="14" spans="1:14" x14ac:dyDescent="0.25">
      <c r="A14" s="15" t="str">
        <f>'DATA GAJI'!J6</f>
        <v>LEMBUR</v>
      </c>
      <c r="B14" s="15"/>
      <c r="C14" s="15"/>
      <c r="D14" s="17">
        <f>VLOOKUP(N1,'DATA GAJI'!$A$8:$R$1000,10,0)</f>
        <v>0</v>
      </c>
      <c r="E14" s="15"/>
      <c r="F14" s="15"/>
      <c r="G14" s="15"/>
      <c r="H14" s="15"/>
      <c r="I14" s="17"/>
    </row>
    <row r="15" spans="1:14" x14ac:dyDescent="0.25">
      <c r="A15" s="15" t="str">
        <f>'DATA GAJI'!K6</f>
        <v>THR</v>
      </c>
      <c r="B15" s="15"/>
      <c r="C15" s="15"/>
      <c r="D15" s="17">
        <f>VLOOKUP(N1,'DATA GAJI'!$A$8:$R$1000,11,0)</f>
        <v>0</v>
      </c>
      <c r="E15" s="15"/>
      <c r="F15" s="15"/>
      <c r="G15" s="15"/>
      <c r="H15" s="15"/>
      <c r="I15" s="17"/>
    </row>
    <row r="16" spans="1:14" ht="15.75" thickBot="1" x14ac:dyDescent="0.3">
      <c r="A16" s="15"/>
      <c r="B16" s="15"/>
      <c r="C16" s="15"/>
      <c r="D16" s="17"/>
      <c r="E16" s="15"/>
      <c r="F16" s="15"/>
      <c r="G16" s="15"/>
      <c r="H16" s="15"/>
      <c r="I16" s="17"/>
    </row>
    <row r="17" spans="1:9" s="8" customFormat="1" ht="16.5" thickTop="1" thickBot="1" x14ac:dyDescent="0.3">
      <c r="A17" s="21" t="s">
        <v>45</v>
      </c>
      <c r="B17" s="21"/>
      <c r="C17" s="21"/>
      <c r="D17" s="22">
        <f>VLOOKUP(N1,'DATA GAJI'!$A$8:$R$1000,12,0)</f>
        <v>8100000</v>
      </c>
      <c r="E17" s="21"/>
      <c r="F17" s="21" t="s">
        <v>46</v>
      </c>
      <c r="G17" s="21"/>
      <c r="H17" s="21"/>
      <c r="I17" s="22">
        <f>VLOOKUP(N1,'DATA GAJI'!$A$8:$R$1000,16,0)</f>
        <v>1645000</v>
      </c>
    </row>
    <row r="18" spans="1:9" ht="9.9499999999999993" customHeight="1" thickTop="1" thickBot="1" x14ac:dyDescent="0.3">
      <c r="A18" s="15"/>
      <c r="B18" s="15"/>
      <c r="C18" s="15"/>
      <c r="D18" s="15"/>
      <c r="E18" s="15"/>
      <c r="F18" s="15"/>
      <c r="G18" s="15"/>
      <c r="H18" s="15"/>
      <c r="I18" s="15"/>
    </row>
    <row r="19" spans="1:9" ht="15.75" thickBot="1" x14ac:dyDescent="0.3">
      <c r="A19" s="18" t="s">
        <v>44</v>
      </c>
      <c r="B19" s="15" t="s">
        <v>6</v>
      </c>
      <c r="C19" s="39">
        <f>VLOOKUP(N1,'DATA GAJI'!$A$8:$R$1000,17,0)</f>
        <v>6455000</v>
      </c>
      <c r="D19" s="40"/>
      <c r="E19" s="15"/>
      <c r="F19" s="15"/>
      <c r="G19" s="15"/>
      <c r="H19" s="42" t="s">
        <v>50</v>
      </c>
      <c r="I19" s="42"/>
    </row>
    <row r="20" spans="1:9" ht="15.75" customHeight="1" x14ac:dyDescent="0.25">
      <c r="A20" s="15"/>
      <c r="B20" s="15"/>
      <c r="C20" s="41" t="str">
        <f>PROPER("("&amp;IF(C19=0,"nol",IF(C19&lt;0,"minus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IF(--MID(TEXT(ABS(C19),"000000000000000"),1,3)=0,"",MID(TEXT(ABS(C19),"000000000000000"),1,1)&amp;" ratus "&amp;MID(TEXT(ABS(C19),"000000000000000"),2,1)&amp;" puluh "&amp;MID(TEXT(ABS(C19),"000000000000000"),3,1)&amp;" trilyun ")&amp; IF(--MID(TEXT(ABS(C19),"000000000000000"),4,3)=0,"",MID(TEXT(ABS(C19),"000000000000000"),4,1)&amp;" ratus "&amp;MID(TEXT(ABS(C19),"000000000000000"),5,1)&amp;" puluh "&amp;MID(TEXT(ABS(C19),"000000000000000"),6,1)&amp;" milyar ")&amp; IF(--MID(TEXT(ABS(C19),"000000000000000"),7,3)=0,"",MID(TEXT(ABS(C19),"000000000000000"),7,1)&amp;" ratus "&amp;MID(TEXT(ABS(C19),"000000000000000"),8,1)&amp;" puluh "&amp;MID(TEXT(ABS(C19),"000000000000000"),9,1)&amp;" juta ")&amp; IF(--MID(TEXT(ABS(C19),"000000000000000"),10,3)=0,"",IF(--MID(TEXT(ABS(C19),"000000000000000"),10,3)=1,"*",MID(TEXT(ABS(C19),"000000000000000"),10,1)&amp;" ratus "&amp;MID(TEXT(ABS(C19),"000000000000000"),11,1)&amp;" puluh ")&amp;MID(TEXT(ABS(C19),"000000000000000"),12,1)&amp;" ribu ")&amp; IF(--MID(TEXT(ABS(C19),"000000000000000"),13,3)=0,"",MID(TEXT(ABS(C19),"000000000000000"),13,1)&amp;" ratus "&amp;MID(TEXT(ABS(C19),"000000000000000"),14,1)&amp;" puluh "&amp;MID(TEXT(ABS(C19),"000000000000000"),15,1)),1,"satu"),2,"dua"),3,"tiga"),4,"empat"),5,"lima"),6,"enam"),7,"tujuh"),8,"delapan"),9,"sembilan"),"0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"," "))&amp;" rupiah)")</f>
        <v>(Enam Juta Empat Ratus Lima Puluh Lima Ribu Rupiah)</v>
      </c>
      <c r="D20" s="41"/>
      <c r="E20" s="41"/>
      <c r="F20" s="41"/>
      <c r="G20" s="41"/>
      <c r="H20" s="19"/>
      <c r="I20" s="19"/>
    </row>
    <row r="21" spans="1:9" ht="15" customHeight="1" x14ac:dyDescent="0.25">
      <c r="A21" s="15"/>
      <c r="B21" s="15"/>
      <c r="C21" s="41"/>
      <c r="D21" s="41"/>
      <c r="E21" s="41"/>
      <c r="F21" s="41"/>
      <c r="G21" s="41"/>
      <c r="H21" s="19"/>
      <c r="I21" s="19"/>
    </row>
    <row r="22" spans="1:9" ht="15" customHeight="1" x14ac:dyDescent="0.25">
      <c r="A22" s="15"/>
      <c r="B22" s="15"/>
      <c r="C22" s="20"/>
      <c r="D22" s="20"/>
      <c r="E22" s="20"/>
      <c r="F22" s="20"/>
      <c r="G22" s="20"/>
      <c r="H22" s="19"/>
      <c r="I22" s="19"/>
    </row>
    <row r="23" spans="1:9" x14ac:dyDescent="0.25">
      <c r="A23" s="15"/>
      <c r="B23" s="15"/>
      <c r="C23" s="15"/>
      <c r="D23" s="15"/>
      <c r="E23" s="15"/>
      <c r="F23" s="15"/>
      <c r="G23" s="15"/>
      <c r="H23" s="36" t="str">
        <f>'DATA GAJI'!D2</f>
        <v>M. FATIH</v>
      </c>
      <c r="I23" s="36"/>
    </row>
  </sheetData>
  <mergeCells count="8">
    <mergeCell ref="H23:I23"/>
    <mergeCell ref="C6:D6"/>
    <mergeCell ref="C7:D7"/>
    <mergeCell ref="H7:I7"/>
    <mergeCell ref="H6:I6"/>
    <mergeCell ref="C19:D19"/>
    <mergeCell ref="C20:G21"/>
    <mergeCell ref="H19:I19"/>
  </mergeCells>
  <printOptions horizontalCentered="1"/>
  <pageMargins left="0.59055118110236227" right="0.59055118110236227" top="0.78740157480314965" bottom="0.59055118110236227" header="0.31496062992125984" footer="0.31496062992125984"/>
  <pageSetup paperSize="11" scale="95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ETAK">
                <anchor moveWithCells="1" sizeWithCells="1">
                  <from>
                    <xdr:col>10</xdr:col>
                    <xdr:colOff>76200</xdr:colOff>
                    <xdr:row>5</xdr:row>
                    <xdr:rowOff>28575</xdr:rowOff>
                  </from>
                  <to>
                    <xdr:col>11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etakSemua">
                <anchor moveWithCells="1" sizeWithCells="1">
                  <from>
                    <xdr:col>11</xdr:col>
                    <xdr:colOff>314325</xdr:colOff>
                    <xdr:row>5</xdr:row>
                    <xdr:rowOff>28575</xdr:rowOff>
                  </from>
                  <to>
                    <xdr:col>12</xdr:col>
                    <xdr:colOff>495300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wal">
                <anchor moveWithCells="1" sizeWithCells="1">
                  <from>
                    <xdr:col>10</xdr:col>
                    <xdr:colOff>85725</xdr:colOff>
                    <xdr:row>1</xdr:row>
                    <xdr:rowOff>19050</xdr:rowOff>
                  </from>
                  <to>
                    <xdr:col>10</xdr:col>
                    <xdr:colOff>438150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belumnya">
                <anchor moveWithCells="1" sizeWithCells="1">
                  <from>
                    <xdr:col>10</xdr:col>
                    <xdr:colOff>504825</xdr:colOff>
                    <xdr:row>1</xdr:row>
                    <xdr:rowOff>19050</xdr:rowOff>
                  </from>
                  <to>
                    <xdr:col>11</xdr:col>
                    <xdr:colOff>266700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erikutnya">
                <anchor moveWithCells="1" sizeWithCells="1">
                  <from>
                    <xdr:col>11</xdr:col>
                    <xdr:colOff>323850</xdr:colOff>
                    <xdr:row>1</xdr:row>
                    <xdr:rowOff>19050</xdr:rowOff>
                  </from>
                  <to>
                    <xdr:col>12</xdr:col>
                    <xdr:colOff>85725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khir">
                <anchor moveWithCells="1" sizeWithCells="1">
                  <from>
                    <xdr:col>12</xdr:col>
                    <xdr:colOff>152400</xdr:colOff>
                    <xdr:row>1</xdr:row>
                    <xdr:rowOff>19050</xdr:rowOff>
                  </from>
                  <to>
                    <xdr:col>12</xdr:col>
                    <xdr:colOff>495300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ihat">
                <anchor moveWithCells="1" sizeWithCells="1">
                  <from>
                    <xdr:col>10</xdr:col>
                    <xdr:colOff>76200</xdr:colOff>
                    <xdr:row>3</xdr:row>
                    <xdr:rowOff>38100</xdr:rowOff>
                  </from>
                  <to>
                    <xdr:col>12</xdr:col>
                    <xdr:colOff>495300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ExportKePDF">
                <anchor moveWithCells="1" sizeWithCells="1">
                  <from>
                    <xdr:col>10</xdr:col>
                    <xdr:colOff>57150</xdr:colOff>
                    <xdr:row>7</xdr:row>
                    <xdr:rowOff>19050</xdr:rowOff>
                  </from>
                  <to>
                    <xdr:col>12</xdr:col>
                    <xdr:colOff>476250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Module1.ExportKirim">
                <anchor moveWithCells="1" sizeWithCells="1">
                  <from>
                    <xdr:col>10</xdr:col>
                    <xdr:colOff>66675</xdr:colOff>
                    <xdr:row>9</xdr:row>
                    <xdr:rowOff>142875</xdr:rowOff>
                  </from>
                  <to>
                    <xdr:col>12</xdr:col>
                    <xdr:colOff>476250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 GAJI</vt:lpstr>
      <vt:lpstr>SLIP GAJI</vt:lpstr>
      <vt:lpstr>Sheet3</vt:lpstr>
      <vt:lpstr>'SLIP GAJI'!Print_Area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azzaury</dc:creator>
  <cp:lastModifiedBy>Progamer Xml</cp:lastModifiedBy>
  <cp:lastPrinted>2023-07-21T02:07:06Z</cp:lastPrinted>
  <dcterms:created xsi:type="dcterms:W3CDTF">2019-04-06T05:40:30Z</dcterms:created>
  <dcterms:modified xsi:type="dcterms:W3CDTF">2023-07-21T08:15:43Z</dcterms:modified>
</cp:coreProperties>
</file>